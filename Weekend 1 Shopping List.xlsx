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eekend 1 — Fram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£#,##0.0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E5090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C0000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E5090"/>
      <sz val="11"/>
    </font>
    <font>
      <name val="Arial"/>
      <charset val="1"/>
      <family val="0"/>
      <sz val="10"/>
    </font>
    <font>
      <name val="Arial"/>
      <charset val="1"/>
      <family val="0"/>
      <b val="1"/>
      <sz val="9"/>
    </font>
    <font>
      <name val="Arial"/>
      <charset val="1"/>
      <family val="0"/>
      <color rgb="FF0563C1"/>
      <sz val="9"/>
      <u val="single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9"/>
    </font>
    <font>
      <b val="1"/>
    </font>
    <font>
      <b val="1"/>
      <color rgb="00666666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FF2E5090"/>
        <bgColor rgb="FF0563C1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 wrapText="1"/>
    </xf>
    <xf numFmtId="164" fontId="9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bottom" wrapText="1"/>
    </xf>
    <xf numFmtId="0" fontId="11" fillId="0" borderId="1" applyAlignment="1" pivotButton="0" quotePrefix="0" xfId="0">
      <alignment horizontal="general" vertical="bottom" wrapText="1"/>
    </xf>
    <xf numFmtId="0" fontId="12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 wrapText="1"/>
    </xf>
    <xf numFmtId="0" fontId="13" fillId="7" borderId="0" applyAlignment="1" pivotButton="0" quotePrefix="0" xfId="0">
      <alignment horizontal="general" vertical="bottom"/>
    </xf>
    <xf numFmtId="0" fontId="13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 wrapText="1"/>
    </xf>
    <xf numFmtId="164" fontId="9" fillId="0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center" vertical="bottom" wrapText="1"/>
    </xf>
    <xf numFmtId="0" fontId="11" fillId="0" borderId="1" applyAlignment="1" pivotButton="0" quotePrefix="0" xfId="0">
      <alignment horizontal="general" vertical="bottom" wrapText="1"/>
    </xf>
    <xf numFmtId="0" fontId="12" fillId="5" borderId="0" applyAlignment="1" pivotButton="0" quotePrefix="0" xfId="0">
      <alignment horizontal="right" vertical="bottom"/>
    </xf>
    <xf numFmtId="0" fontId="13" fillId="6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 wrapText="1"/>
    </xf>
    <xf numFmtId="0" fontId="15" fillId="0" borderId="0" pivotButton="0" quotePrefix="0" xfId="0"/>
    <xf numFmtId="0" fontId="0" fillId="0" borderId="0" applyAlignment="1" pivotButton="0" quotePrefix="0" xfId="0">
      <alignment wrapText="1"/>
    </xf>
    <xf numFmtId="0" fontId="13" fillId="7" borderId="0" applyAlignment="1" pivotButton="0" quotePrefix="0" xfId="0">
      <alignment horizontal="general" vertical="bottom"/>
    </xf>
    <xf numFmtId="0" fontId="13" fillId="4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pivotButton="0" quotePrefix="0" xfId="0"/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2EFDA"/>
      <rgbColor rgb="FFD6E4F0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19" min="1" max="1"/>
    <col width="50" customWidth="1" style="19" min="2" max="2"/>
    <col width="28" customWidth="1" style="19" min="3" max="3"/>
    <col width="8" customWidth="1" style="19" min="4" max="4"/>
    <col width="12" customWidth="1" style="19" min="5" max="6"/>
    <col width="24" customWidth="1" style="19" min="7" max="7"/>
    <col width="55" customWidth="1" style="19" min="8" max="8"/>
  </cols>
  <sheetData>
    <row r="1" ht="34.5" customHeight="1" s="20">
      <c r="A1" s="21" t="inlineStr">
        <is>
          <t>Weekend 1 Shopping List — Frame</t>
        </is>
      </c>
    </row>
    <row r="2" ht="21.75" customHeight="1" s="20">
      <c r="A2" s="22" t="inlineStr">
        <is>
          <t>B&amp;Q Chiswick (2 Larch Drive, W4 5QL) — Call 020 8995 8028 to confirm stock before visiting</t>
        </is>
      </c>
    </row>
    <row r="3" ht="15" customHeight="1" s="20">
      <c r="A3" s="38" t="inlineStr">
        <is>
          <t>VERIFIED against diy.com and cutting plan on 11 April 2026 — FINAL pre-B&amp;Q check</t>
        </is>
      </c>
    </row>
    <row r="5" ht="27.75" customHeight="1" s="20">
      <c r="A5" s="24" t="inlineStr">
        <is>
          <t>#</t>
        </is>
      </c>
      <c r="B5" s="24" t="inlineStr">
        <is>
          <t>Product</t>
        </is>
      </c>
      <c r="C5" s="24" t="inlineStr">
        <is>
          <t>Dimensions</t>
        </is>
      </c>
      <c r="D5" s="24" t="inlineStr">
        <is>
          <t>Qty</t>
        </is>
      </c>
      <c r="E5" s="24" t="inlineStr">
        <is>
          <t>Unit Price</t>
        </is>
      </c>
      <c r="F5" s="24" t="inlineStr">
        <is>
          <t>Total</t>
        </is>
      </c>
      <c r="G5" s="24" t="inlineStr">
        <is>
          <t>Chiswick Availability</t>
        </is>
      </c>
      <c r="H5" s="24" t="inlineStr">
        <is>
          <t>B&amp;Q Link / Notes</t>
        </is>
      </c>
    </row>
    <row r="6" ht="15" customHeight="1" s="20">
      <c r="A6" s="25" t="inlineStr">
        <is>
          <t>FRAME TIMBER</t>
        </is>
      </c>
    </row>
    <row r="7" ht="42" customHeight="1" s="20">
      <c r="A7" s="26" t="n">
        <v>1</v>
      </c>
      <c r="B7" s="27" t="inlineStr">
        <is>
          <t>Metsa Wood Rough Sawn Treated Whitewood Spruce
50x47mm, 2.4m (sold individually)</t>
        </is>
      </c>
      <c r="C7" s="27" t="inlineStr">
        <is>
          <t>(L)2.4m (W)50mm (T)47mm</t>
        </is>
      </c>
      <c r="D7" s="26" t="n">
        <v>8</v>
      </c>
      <c r="E7" s="28" t="n">
        <v>7.47</v>
      </c>
      <c r="F7" s="28">
        <f>E7*D7</f>
        <v/>
      </c>
      <c r="G7" s="29" t="inlineStr">
        <is>
          <t>IN STOCK — 42 units
Click + Collect</t>
        </is>
      </c>
      <c r="H7" s="30" t="inlineStr">
        <is>
          <t>https://www.diy.com/departments/metsa-wood-rough-sawn-treated-whitewood-spruce-stick-timber-l-2-4m-w-50mm-t-47mm/1798315_BQ.prd</t>
        </is>
      </c>
    </row>
    <row r="8" ht="42" customHeight="1" s="20">
      <c r="A8" s="26" t="n">
        <v>2</v>
      </c>
      <c r="B8" s="27" t="inlineStr">
        <is>
          <t>Rough Sawn Treated Whitewood Spruce
50x47mm, 1.8m (sold individually)</t>
        </is>
      </c>
      <c r="C8" s="27" t="inlineStr">
        <is>
          <t>(L)1.8m (W)50mm (T)47mm</t>
        </is>
      </c>
      <c r="D8" s="26" t="n">
        <v>5</v>
      </c>
      <c r="E8" s="28" t="n">
        <v>5.47</v>
      </c>
      <c r="F8" s="28">
        <f>E8*D8</f>
        <v/>
      </c>
      <c r="G8" s="29" t="inlineStr">
        <is>
          <t>IN STOCK — 88 units
Click + Collect</t>
        </is>
      </c>
      <c r="H8" s="30" t="inlineStr">
        <is>
          <t>https://www.diy.com/departments/rough-sawn-treated-whitewood-spruce-stick-timber-l-1-8m-w-50mm-t-47mm/3663602558521_BQ.prd</t>
        </is>
      </c>
    </row>
    <row r="9" ht="15" customHeight="1" s="20">
      <c r="A9" s="25" t="inlineStr">
        <is>
          <t>FRAME ROOF BATTENS (TEMPORARY STRUCTURE ONLY)</t>
        </is>
      </c>
    </row>
    <row r="10" ht="42" customHeight="1" s="20">
      <c r="A10" s="26" t="inlineStr">
        <is>
          <t>3</t>
        </is>
      </c>
      <c r="B10" s="27" t="inlineStr">
        <is>
          <t>Rough Sawn Treated Whitewood
50x22mm, 1.8m — roof battens (sold individually)</t>
        </is>
      </c>
      <c r="C10" s="27" t="inlineStr">
        <is>
          <t>(L)1.8m (W)50mm (T)22mm</t>
        </is>
      </c>
      <c r="D10" s="26" t="n">
        <v>4</v>
      </c>
      <c r="E10" s="28" t="n">
        <v>4.47</v>
      </c>
      <c r="F10" s="28">
        <f>E10*D10</f>
        <v/>
      </c>
      <c r="G10" s="29" t="inlineStr">
        <is>
          <t>IN STOCK — 15 units
Click + Collect</t>
        </is>
      </c>
      <c r="H10" s="30" t="inlineStr">
        <is>
          <t>https://www.diy.com/departments/rough-sawn-treated-whitewood-stick-timber-l-1-8m-w-50mm-t-22mm/3663602558477_BQ.prd</t>
        </is>
      </c>
    </row>
    <row r="11" ht="42" customHeight="1" s="20">
      <c r="A11" s="31" t="inlineStr">
        <is>
          <t>FIXINGS</t>
        </is>
      </c>
    </row>
    <row r="12" ht="42" customHeight="1" s="20">
      <c r="A12" s="32" t="inlineStr">
        <is>
          <t>4</t>
        </is>
      </c>
      <c r="B12" s="19" t="inlineStr">
        <is>
          <t>Galvanised / Stainless Steel Screws
Assorted box (50mm, 65mm, 75mm for frame)</t>
        </is>
      </c>
      <c r="C12" s="33" t="inlineStr">
        <is>
          <t>Assorted lengths</t>
        </is>
      </c>
      <c r="D12" s="19" t="n">
        <v>1</v>
      </c>
      <c r="E12" s="19" t="n">
        <v>12</v>
      </c>
      <c r="F12" s="19">
        <f>E12*D12</f>
        <v/>
      </c>
      <c r="G12" s="19" t="inlineStr">
        <is>
          <t>IN STORE
Standard stock item</t>
        </is>
      </c>
      <c r="H12" s="19" t="inlineStr">
        <is>
          <t>Pick from the screws aisle — look for outdoor/galvanised.
Weekend 1 needs: ~40x 75mm (joints), ~16x 65mm (braces) = ~56 total.
No 50mm screws needed (noggins removed from design).
A 300-500 pc assorted box covers all weekends (~200-300 total).</t>
        </is>
      </c>
    </row>
    <row r="13" ht="42" customHeight="1" s="20">
      <c r="A13" s="39" t="inlineStr">
        <is>
          <t>NOTE</t>
        </is>
      </c>
      <c r="B13" s="40" t="inlineStr">
        <is>
          <t>X-braces: user-supplied 15x38x2400mm timber (NOT purchased from B&amp;Q). Only 2 of 8 available sticks needed for 4 braces. 6 sticks spare.</t>
        </is>
      </c>
    </row>
    <row r="14" ht="15" customHeight="1" s="20">
      <c r="A14" s="34" t="inlineStr">
        <is>
          <t>ADDITIONAL ITEMS (BUY NOW FOR LATER WEEKENDS)</t>
        </is>
      </c>
    </row>
    <row r="15" ht="42" customHeight="1" s="20">
      <c r="A15" s="19" t="inlineStr">
        <is>
          <t>5</t>
        </is>
      </c>
      <c r="B15" s="35" t="inlineStr">
        <is>
          <t>Rough Sawn Treated Whitewood
50x22mm, 1.8m — shelf battens (sold individually)</t>
        </is>
      </c>
      <c r="C15" s="19" t="inlineStr">
        <is>
          <t>(L)1.8m (W)50mm (T)22mm</t>
        </is>
      </c>
      <c r="D15" s="19" t="n">
        <v>3</v>
      </c>
      <c r="E15" s="19" t="n">
        <v>4.47</v>
      </c>
      <c r="F15" s="19">
        <f>E15*D15</f>
        <v/>
      </c>
      <c r="G15" s="35" t="inlineStr">
        <is>
          <t>IN STOCK — 15 units
Click + Collect</t>
        </is>
      </c>
      <c r="H15" s="19" t="inlineStr">
        <is>
          <t>Weekend 4 shelf battens — buy now while at B&amp;Q. Same product as item 3.</t>
        </is>
      </c>
    </row>
    <row r="16" ht="42" customHeight="1" s="20">
      <c r="A16" s="19" t="inlineStr">
        <is>
          <t>6</t>
        </is>
      </c>
      <c r="B16" s="35" t="inlineStr">
        <is>
          <t>Exterior Plywood Sheet
18mm, 2440 × 1220mm</t>
        </is>
      </c>
      <c r="C16" s="19" t="inlineStr">
        <is>
          <t>2440mm × 1220mm × 18mm</t>
        </is>
      </c>
      <c r="D16" s="19" t="n">
        <v>1</v>
      </c>
      <c r="E16" s="19" t="n">
        <v>42</v>
      </c>
      <c r="F16" s="19">
        <f>E16*D16</f>
        <v/>
      </c>
      <c r="G16" s="35" t="inlineStr">
        <is>
          <t>CHECK STOCK
May need delivery</t>
        </is>
      </c>
      <c r="H16" s="19" t="inlineStr">
        <is>
          <t>Roof sheathing (Weekend 2) + shelf boards (Weekend 4). Full sheet covers both.</t>
        </is>
      </c>
    </row>
    <row r="17" ht="15" customHeight="1" s="20"/>
    <row r="18" ht="30" customHeight="1" s="20">
      <c r="A18" s="37" t="inlineStr">
        <is>
          <t>ESTIMATED TOTAL — WEEKEND 1</t>
        </is>
      </c>
      <c r="F18" s="19">
        <f>SUM(F7:F16)</f>
        <v/>
      </c>
    </row>
    <row r="19" ht="15" customHeight="1" s="20">
      <c r="A19" s="19" t="inlineStr">
        <is>
          <t>TRANSPORT &amp; AVAILABILITY NOTES</t>
        </is>
      </c>
    </row>
    <row r="20" ht="15" customHeight="1" s="20">
      <c r="A20" s="19" t="inlineStr">
        <is>
          <t>2.4m TIMBER — WON'T FIT IN CAR</t>
        </is>
      </c>
      <c r="C20" s="35" t="inlineStr">
        <is>
          <t>The 2.4m posts won't fit in the Honda Insight (max ~1.8m with seats down). SOLUTION: Ask B&amp;Q to make ONE cut per stick at the post length (e.g. 1647mm). KEEP BOTH PIECES — the offcuts are exactly 750mm (depth rails). Without these offcuts you would need ~7 extra 1.8m sticks. Options if they won't cut: (1) Arrange delivery. (2) Hire a van for ~£30.</t>
        </is>
      </c>
    </row>
    <row r="21" ht="60" customHeight="1" s="20">
      <c r="A21" s="19" t="inlineStr">
        <is>
          <t>1.8m TIMBER &amp; FIXINGS — WILL FIT</t>
        </is>
      </c>
      <c r="C21" s="19" t="inlineStr">
        <is>
          <t>The 1.8m timber lengths, roof battens, and screws will all fit in the Insight with rear seats folded.</t>
        </is>
      </c>
    </row>
    <row r="22" ht="60" customHeight="1" s="20">
      <c r="A22" s="19" t="n"/>
    </row>
    <row r="23" ht="60" customHeight="1" s="20">
      <c r="A23" s="19" t="inlineStr">
        <is>
          <t>SUGGESTED APPROACH FOR TOMORROW</t>
        </is>
      </c>
    </row>
    <row r="24" ht="60" customHeight="1" s="20">
      <c r="A24" s="19" t="inlineStr">
        <is>
          <t>1. Drive to B&amp;Q Chiswick and pick up the frame timber (items 1, 2, 3) and screws (item 4).</t>
        </is>
      </c>
    </row>
    <row r="25">
      <c r="A25" s="19" t="inlineStr">
        <is>
          <t>2. For the 2.4m posts: either have them cut to final lengths in store, or arrange separate delivery/van hire.</t>
        </is>
      </c>
    </row>
    <row r="26" ht="15" customHeight="1" s="20">
      <c r="A26" s="19" t="inlineStr">
        <is>
          <t>3. Note: Weekend 2 will cover roof sheathing (plywood), felt, and shingles.</t>
        </is>
      </c>
    </row>
    <row r="27" ht="79.5" customHeight="1" s="20">
      <c r="A27" s="19" t="n"/>
    </row>
    <row r="28">
      <c r="A28" s="19" t="n"/>
      <c r="C28" s="19" t="n"/>
    </row>
    <row r="29"/>
    <row r="30">
      <c r="A30" s="19" t="n"/>
    </row>
    <row r="31">
      <c r="A31" s="19" t="n"/>
    </row>
  </sheetData>
  <mergeCells count="18">
    <mergeCell ref="A9:H9"/>
    <mergeCell ref="A1:H1"/>
    <mergeCell ref="A20:B20"/>
    <mergeCell ref="A3:H3"/>
    <mergeCell ref="A21:B21"/>
    <mergeCell ref="A24:B24"/>
    <mergeCell ref="A26:H26"/>
    <mergeCell ref="C24:H24"/>
    <mergeCell ref="A6:H6"/>
    <mergeCell ref="C21:H21"/>
    <mergeCell ref="C22:H22"/>
    <mergeCell ref="A2:H2"/>
    <mergeCell ref="C23:H23"/>
    <mergeCell ref="A23:B23"/>
    <mergeCell ref="A27:H27"/>
    <mergeCell ref="A18:E18"/>
    <mergeCell ref="A22:B22"/>
    <mergeCell ref="C20:H20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2026-04-10T17:47:21Z</dcterms:created>
  <dcterms:modified xsi:type="dcterms:W3CDTF">2026-04-11T09:13:01Z</dcterms:modified>
  <cp:revision>0</cp:revision>
</cp:coreProperties>
</file>